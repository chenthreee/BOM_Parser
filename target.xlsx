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22149" windowHeight="133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等线"/>
      <family val="2"/>
      <color theme="1"/>
      <sz val="11"/>
      <scheme val="minor"/>
    </font>
    <font>
      <name val="宋体"/>
      <charset val="134"/>
      <family val="3"/>
      <b val="1"/>
      <sz val="11"/>
    </font>
    <font>
      <name val="等线"/>
      <charset val="134"/>
      <family val="3"/>
      <sz val="9"/>
      <scheme val="minor"/>
    </font>
    <font>
      <name val="宋体"/>
      <charset val="134"/>
      <family val="3"/>
      <sz val="10"/>
    </font>
    <font>
      <name val="等线"/>
      <charset val="134"/>
      <family val="3"/>
      <color theme="1"/>
      <sz val="11"/>
    </font>
  </fonts>
  <fills count="3">
    <fill>
      <patternFill/>
    </fill>
    <fill>
      <patternFill patternType="gray125"/>
    </fill>
    <fill>
      <patternFill patternType="solid">
        <fgColor rgb="FFFF0000"/>
        <bgColor indexed="64"/>
      </patternFill>
    </fill>
  </fills>
  <borders count="4">
    <border>
      <left/>
      <right/>
      <top/>
      <bottom/>
      <diagonal/>
    </border>
    <border>
      <left style="thin">
        <color auto="1"/>
      </left>
      <right style="thin">
        <color indexed="64"/>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s>
  <cellStyleXfs count="1">
    <xf numFmtId="0" fontId="0" fillId="0" borderId="0"/>
  </cellStyleXfs>
  <cellXfs count="8">
    <xf numFmtId="0" fontId="0" fillId="0" borderId="0" pivotButton="0" quotePrefix="0" xfId="0"/>
    <xf numFmtId="0" fontId="3" fillId="0" borderId="0" applyAlignment="1" pivotButton="0" quotePrefix="0" xfId="0">
      <alignment horizontal="left" vertical="center" wrapText="1"/>
    </xf>
    <xf numFmtId="0" fontId="1" fillId="0" borderId="1" pivotButton="0" quotePrefix="0" xfId="0"/>
    <xf numFmtId="0" fontId="4" fillId="0" borderId="2" pivotButton="0" quotePrefix="0" xfId="0"/>
    <xf numFmtId="0" fontId="4" fillId="0" borderId="3" pivotButton="0" quotePrefix="0" xfId="0"/>
    <xf numFmtId="0" fontId="3" fillId="0" borderId="1" pivotButton="0" quotePrefix="0" xfId="0"/>
    <xf numFmtId="0" fontId="3" fillId="2" borderId="1" pivotButton="0" quotePrefix="0" xfId="0"/>
    <xf numFmtId="1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112"/>
  <sheetViews>
    <sheetView tabSelected="1" workbookViewId="0">
      <selection activeCell="K11" sqref="K11"/>
    </sheetView>
  </sheetViews>
  <sheetFormatPr baseColWidth="8" defaultRowHeight="14.15"/>
  <cols>
    <col width="9.5703125" bestFit="1" customWidth="1" min="13" max="13"/>
  </cols>
  <sheetData>
    <row r="1" ht="27.45" customHeight="1">
      <c r="A1" s="2" t="inlineStr">
        <is>
          <t>深圳百千成电子有限公司</t>
        </is>
      </c>
      <c r="B1" s="3" t="n"/>
      <c r="C1" s="3" t="n"/>
      <c r="D1" s="3" t="n"/>
      <c r="E1" s="3" t="n"/>
      <c r="F1" s="3" t="n"/>
      <c r="G1" s="3" t="n"/>
      <c r="H1" s="3" t="n"/>
      <c r="I1" s="3" t="n"/>
      <c r="J1" s="3" t="n"/>
      <c r="K1" s="4" t="n"/>
    </row>
    <row r="2" ht="14.6" customHeight="1">
      <c r="A2" s="5" t="inlineStr">
        <is>
          <t>物料清单</t>
        </is>
      </c>
      <c r="B2" s="3" t="n"/>
      <c r="C2" s="3" t="n"/>
      <c r="D2" s="3" t="n"/>
      <c r="E2" s="3" t="n"/>
      <c r="F2" s="3" t="n"/>
      <c r="G2" s="3" t="n"/>
      <c r="H2" s="3" t="n"/>
      <c r="I2" s="3" t="n"/>
      <c r="J2" s="3" t="n"/>
      <c r="K2" s="4" t="n"/>
    </row>
    <row r="3" ht="18" customHeight="1">
      <c r="A3" s="5" t="inlineStr">
        <is>
          <t xml:space="preserve">客户：XX            名称：                      型号：XX                                   版本：XX                           </t>
        </is>
      </c>
      <c r="B3" s="3" t="n"/>
      <c r="C3" s="3" t="n"/>
      <c r="D3" s="3" t="n"/>
      <c r="E3" s="3" t="n"/>
      <c r="F3" s="3" t="n"/>
      <c r="G3" s="3" t="n"/>
      <c r="H3" s="3" t="n"/>
      <c r="I3" s="3" t="n"/>
      <c r="J3" s="3" t="n"/>
      <c r="K3" s="4" t="n"/>
      <c r="L3" t="inlineStr">
        <is>
          <t>日期</t>
        </is>
      </c>
      <c r="M3" s="7">
        <f>TODAY()</f>
        <v/>
      </c>
    </row>
    <row r="4" ht="16.75" customFormat="1" customHeight="1" s="1">
      <c r="A4" s="5" t="inlineStr">
        <is>
          <t>序号</t>
        </is>
      </c>
      <c r="B4" s="5" t="inlineStr">
        <is>
          <t>K3编码</t>
        </is>
      </c>
      <c r="C4" s="5" t="inlineStr">
        <is>
          <t>物料名称</t>
        </is>
      </c>
      <c r="D4" s="5" t="inlineStr">
        <is>
          <t>规格型号</t>
        </is>
      </c>
      <c r="E4" s="6" t="inlineStr">
        <is>
          <t>丝印代码（二三极管、MOS管、IC）</t>
        </is>
      </c>
      <c r="F4" s="5" t="inlineStr">
        <is>
          <t>可用替代规格型号+品牌</t>
        </is>
      </c>
      <c r="G4" s="5" t="inlineStr">
        <is>
          <t>用量</t>
        </is>
      </c>
      <c r="H4" s="5" t="inlineStr">
        <is>
          <t>位号</t>
        </is>
      </c>
      <c r="I4" s="5" t="inlineStr">
        <is>
          <t>品牌</t>
        </is>
      </c>
      <c r="J4" s="5" t="inlineStr">
        <is>
          <t>供应商</t>
        </is>
      </c>
      <c r="K4" s="5" t="inlineStr">
        <is>
          <t>备注</t>
        </is>
      </c>
      <c r="L4" s="5" t="inlineStr">
        <is>
          <t>变更履历记录</t>
        </is>
      </c>
      <c r="M4" s="5" t="inlineStr">
        <is>
          <t>原始描述</t>
        </is>
      </c>
      <c r="N4" s="5" t="inlineStr">
        <is>
          <t>规格书链接</t>
        </is>
      </c>
    </row>
    <row r="5">
      <c r="A5" t="n">
        <v>1</v>
      </c>
      <c r="D5" t="inlineStr">
        <is>
          <t>20PF,±5%,50V</t>
        </is>
      </c>
      <c r="G5" t="n">
        <v>2</v>
      </c>
      <c r="H5" t="inlineStr">
        <is>
          <t>C1 C2</t>
        </is>
      </c>
    </row>
    <row r="6">
      <c r="A6" t="n">
        <v>2</v>
      </c>
      <c r="D6" t="inlineStr">
        <is>
          <t>104,±10%,50V</t>
        </is>
      </c>
      <c r="G6" t="n">
        <v>47</v>
      </c>
      <c r="H6" t="inlineStr">
        <is>
          <t>C3 C4 C6 C7 C8 C9 C10 C11 C12 C13 C14 C17 C18 C19 C20 C21 C22 C23 C24 C25 C28 C29 C32 C33 C35 C39 C40 C41 C42 C43 C46 C48 C49 C50 C51 C56 C57 C58 C62 C63 C64 C66 C69 C73 C75 C76 C77</t>
        </is>
      </c>
    </row>
    <row r="7">
      <c r="A7" t="n">
        <v>3</v>
      </c>
      <c r="D7" t="inlineStr">
        <is>
          <t>10uf,±10%,50V</t>
        </is>
      </c>
      <c r="G7" t="n">
        <v>1</v>
      </c>
      <c r="H7" t="inlineStr">
        <is>
          <t>C5</t>
        </is>
      </c>
    </row>
    <row r="8">
      <c r="A8" t="n">
        <v>4</v>
      </c>
      <c r="D8" t="inlineStr">
        <is>
          <t>1nF,±10%,1KV</t>
        </is>
      </c>
      <c r="G8" t="n">
        <v>4</v>
      </c>
      <c r="H8" t="inlineStr">
        <is>
          <t>C15 C16 C26 C27</t>
        </is>
      </c>
    </row>
    <row r="9">
      <c r="A9" t="n">
        <v>5</v>
      </c>
      <c r="D9" t="inlineStr">
        <is>
          <t>22uF ±20% 100V</t>
        </is>
      </c>
      <c r="G9" t="n">
        <v>1</v>
      </c>
      <c r="H9" t="inlineStr">
        <is>
          <t>C30</t>
        </is>
      </c>
    </row>
    <row r="10">
      <c r="A10" t="n">
        <v>6</v>
      </c>
      <c r="D10" t="inlineStr">
        <is>
          <t>2.2uF ±10% 50V</t>
        </is>
      </c>
      <c r="G10" t="n">
        <v>1</v>
      </c>
      <c r="H10" t="inlineStr">
        <is>
          <t>C31</t>
        </is>
      </c>
    </row>
    <row r="11">
      <c r="A11" t="n">
        <v>7</v>
      </c>
      <c r="D11" t="inlineStr">
        <is>
          <t>102,±10%,16V</t>
        </is>
      </c>
      <c r="G11" t="n">
        <v>4</v>
      </c>
      <c r="H11" t="inlineStr">
        <is>
          <t>C34 C36 C37 C59</t>
        </is>
      </c>
    </row>
    <row r="12">
      <c r="A12" t="n">
        <v>8</v>
      </c>
      <c r="D12" t="inlineStr">
        <is>
          <t>101,±10%,50V</t>
        </is>
      </c>
      <c r="G12" t="n">
        <v>1</v>
      </c>
      <c r="H12" t="inlineStr">
        <is>
          <t>C38</t>
        </is>
      </c>
    </row>
    <row r="13">
      <c r="A13" t="n">
        <v>9</v>
      </c>
      <c r="D13" t="inlineStr">
        <is>
          <t>120uF ±20% 20V</t>
        </is>
      </c>
      <c r="G13" t="n">
        <v>1</v>
      </c>
      <c r="H13" t="inlineStr">
        <is>
          <t>C44</t>
        </is>
      </c>
    </row>
    <row r="14">
      <c r="A14" t="n">
        <v>10</v>
      </c>
      <c r="D14" t="inlineStr">
        <is>
          <t>4.7uf,±10%,16V</t>
        </is>
      </c>
      <c r="G14" t="n">
        <v>3</v>
      </c>
      <c r="H14" t="inlineStr">
        <is>
          <t>C52 C55 C61</t>
        </is>
      </c>
    </row>
    <row r="15">
      <c r="A15" t="n">
        <v>11</v>
      </c>
      <c r="D15" t="inlineStr">
        <is>
          <t>106,±10%,16V</t>
        </is>
      </c>
      <c r="G15" t="n">
        <v>2</v>
      </c>
      <c r="H15" t="inlineStr">
        <is>
          <t>C53 C67</t>
        </is>
      </c>
    </row>
    <row r="16">
      <c r="A16" t="n">
        <v>12</v>
      </c>
      <c r="D16" t="inlineStr">
        <is>
          <t>22uf,±10%,16V</t>
        </is>
      </c>
      <c r="G16" t="n">
        <v>7</v>
      </c>
      <c r="H16" t="inlineStr">
        <is>
          <t>C54 C60 C65 C68 C72 C74 C88</t>
        </is>
      </c>
    </row>
    <row r="17">
      <c r="A17" t="n">
        <v>13</v>
      </c>
      <c r="D17" t="inlineStr">
        <is>
          <t>30PF,±10%,16V</t>
        </is>
      </c>
      <c r="G17" t="n">
        <v>2</v>
      </c>
      <c r="H17" t="inlineStr">
        <is>
          <t>C70 C71</t>
        </is>
      </c>
    </row>
    <row r="18">
      <c r="A18" t="n">
        <v>14</v>
      </c>
      <c r="B18" t="inlineStr">
        <is>
          <t>1.S.DD.00944</t>
        </is>
      </c>
      <c r="C18" t="inlineStr">
        <is>
          <t>贴片二极管</t>
        </is>
      </c>
      <c r="D18" t="inlineStr">
        <is>
          <t>VC BAV99LT1G SOT23-3 丝印A7 ON</t>
        </is>
      </c>
      <c r="G18" t="n">
        <v>18</v>
      </c>
      <c r="H18" t="inlineStr">
        <is>
          <t>D1 D4 D5 D6 D8 D9 D10 D13 D17 D18 D19 D20 D21 D22 D24 D26 D27 D28</t>
        </is>
      </c>
      <c r="O18" t="inlineStr">
        <is>
          <t>仅用料号强匹配</t>
        </is>
      </c>
    </row>
    <row r="19">
      <c r="A19" t="n">
        <v>14</v>
      </c>
      <c r="B19" t="inlineStr">
        <is>
          <t>1.S.DD.01268</t>
        </is>
      </c>
      <c r="C19" t="inlineStr">
        <is>
          <t>贴片开关二极管</t>
        </is>
      </c>
      <c r="D19" t="inlineStr">
        <is>
          <t>KB BAV99LT1G SOT-23 丝印A7 ON</t>
        </is>
      </c>
      <c r="G19" t="n">
        <v>18</v>
      </c>
      <c r="H19" t="inlineStr">
        <is>
          <t>D1 D4 D5 D6 D8 D9 D10 D13 D17 D18 D19 D20 D21 D22 D24 D26 D27 D28</t>
        </is>
      </c>
      <c r="O19" t="inlineStr">
        <is>
          <t>multi-仅用料号强匹配</t>
        </is>
      </c>
    </row>
    <row r="20">
      <c r="A20" t="n">
        <v>14</v>
      </c>
      <c r="B20" t="inlineStr">
        <is>
          <t>1.S.DD.01455</t>
        </is>
      </c>
      <c r="C20" t="inlineStr">
        <is>
          <t>贴片二极管</t>
        </is>
      </c>
      <c r="D20" t="inlineStr">
        <is>
          <t>AC BAV99LT1G SOT-23 丝印A7 ON</t>
        </is>
      </c>
      <c r="G20" t="n">
        <v>18</v>
      </c>
      <c r="H20" t="inlineStr">
        <is>
          <t>D1 D4 D5 D6 D8 D9 D10 D13 D17 D18 D19 D20 D21 D22 D24 D26 D27 D28</t>
        </is>
      </c>
      <c r="O20" t="inlineStr">
        <is>
          <t>multi-仅用料号强匹配</t>
        </is>
      </c>
    </row>
    <row r="21">
      <c r="A21" t="n">
        <v>15</v>
      </c>
      <c r="C21" t="inlineStr">
        <is>
          <t>插件LED</t>
        </is>
      </c>
      <c r="D21" t="inlineStr">
        <is>
          <t>TR LTL-4233 直插 翠绿色 LITEON(光宝)</t>
        </is>
      </c>
      <c r="G21" t="n">
        <v>1</v>
      </c>
      <c r="H21" t="inlineStr">
        <is>
          <t>D2</t>
        </is>
      </c>
      <c r="O21" t="inlineStr">
        <is>
          <t>仅用料号弱匹配</t>
        </is>
      </c>
    </row>
    <row r="22">
      <c r="A22" t="n">
        <v>15</v>
      </c>
      <c r="C22" t="inlineStr">
        <is>
          <t>插件LED</t>
        </is>
      </c>
      <c r="D22" t="inlineStr">
        <is>
          <t>TR SSL-LX5093IGW 红色 翠绿色  Lumex</t>
        </is>
      </c>
      <c r="G22" t="n">
        <v>1</v>
      </c>
      <c r="H22" t="inlineStr">
        <is>
          <t>D2</t>
        </is>
      </c>
      <c r="O22" t="inlineStr">
        <is>
          <t>multi-仅用料号弱匹配</t>
        </is>
      </c>
    </row>
    <row r="23">
      <c r="A23" t="n">
        <v>15</v>
      </c>
      <c r="C23" t="inlineStr">
        <is>
          <t>贴片发光二极管</t>
        </is>
      </c>
      <c r="D23" t="inlineStr">
        <is>
          <t>MC ZDGK45WT 发光:翠绿色 PLCC-2 Sunled</t>
        </is>
      </c>
      <c r="G23" t="n">
        <v>1</v>
      </c>
      <c r="H23" t="inlineStr">
        <is>
          <t>D2</t>
        </is>
      </c>
      <c r="O23" t="inlineStr">
        <is>
          <t>multi-仅用料号弱匹配</t>
        </is>
      </c>
    </row>
    <row r="24">
      <c r="A24" t="n">
        <v>15</v>
      </c>
      <c r="C24" t="inlineStr">
        <is>
          <t>贴片发光二极管</t>
        </is>
      </c>
      <c r="D24" t="inlineStr">
        <is>
          <t>EE APG1608ZGC 发光;翠绿色 0603 Kingbright</t>
        </is>
      </c>
      <c r="G24" t="n">
        <v>1</v>
      </c>
      <c r="H24" t="inlineStr">
        <is>
          <t>D2</t>
        </is>
      </c>
      <c r="O24" t="inlineStr">
        <is>
          <t>multi-仅用料号弱匹配</t>
        </is>
      </c>
    </row>
    <row r="25">
      <c r="A25" t="n">
        <v>15</v>
      </c>
      <c r="C25" t="inlineStr">
        <is>
          <t>贴片LED</t>
        </is>
      </c>
      <c r="D25" t="inlineStr">
        <is>
          <t>KB 17-21/GHC-XS1T2M/3T 翠绿色 0805 EVERLIGHT</t>
        </is>
      </c>
      <c r="G25" t="n">
        <v>1</v>
      </c>
      <c r="H25" t="inlineStr">
        <is>
          <t>D2</t>
        </is>
      </c>
      <c r="O25" t="inlineStr">
        <is>
          <t>multi-仅用料号弱匹配</t>
        </is>
      </c>
    </row>
    <row r="26">
      <c r="A26" t="n">
        <v>15</v>
      </c>
      <c r="C26" t="inlineStr">
        <is>
          <t>贴片LED</t>
        </is>
      </c>
      <c r="D26" t="inlineStr">
        <is>
          <t>YA NCD0603G1 翠绿色 0603 GXGD</t>
        </is>
      </c>
      <c r="G26" t="n">
        <v>1</v>
      </c>
      <c r="H26" t="inlineStr">
        <is>
          <t>D2</t>
        </is>
      </c>
      <c r="O26" t="inlineStr">
        <is>
          <t>multi-仅用料号弱匹配</t>
        </is>
      </c>
    </row>
    <row r="27">
      <c r="A27" t="n">
        <v>15</v>
      </c>
      <c r="C27" t="inlineStr">
        <is>
          <t>贴片LED</t>
        </is>
      </c>
      <c r="D27" t="inlineStr">
        <is>
          <t>FS APTD1608LZGCK 翠绿色 0603 KINGBRIGHT</t>
        </is>
      </c>
      <c r="G27" t="n">
        <v>1</v>
      </c>
      <c r="H27" t="inlineStr">
        <is>
          <t>D2</t>
        </is>
      </c>
      <c r="O27" t="inlineStr">
        <is>
          <t>multi-仅用料号弱匹配</t>
        </is>
      </c>
    </row>
    <row r="28">
      <c r="A28" t="n">
        <v>16</v>
      </c>
      <c r="B28" t="inlineStr">
        <is>
          <t>1.S.DD.00099</t>
        </is>
      </c>
      <c r="C28" t="inlineStr">
        <is>
          <t>贴片二极管</t>
        </is>
      </c>
      <c r="D28" t="inlineStr">
        <is>
          <t>AL ES1D 200V 1A DO-214AA JCET</t>
        </is>
      </c>
      <c r="G28" t="n">
        <v>1</v>
      </c>
      <c r="H28" t="inlineStr">
        <is>
          <t>D3</t>
        </is>
      </c>
      <c r="O28" t="inlineStr">
        <is>
          <t>仅用料号强匹配</t>
        </is>
      </c>
    </row>
    <row r="29">
      <c r="A29" t="n">
        <v>16</v>
      </c>
      <c r="B29" t="inlineStr">
        <is>
          <t>1.S.DD.00145</t>
        </is>
      </c>
      <c r="C29" t="inlineStr">
        <is>
          <t>贴片二极管</t>
        </is>
      </c>
      <c r="D29" t="inlineStr">
        <is>
          <t>AL ES1D 200V 1A DO-214AC 长电</t>
        </is>
      </c>
      <c r="G29" t="n">
        <v>1</v>
      </c>
      <c r="H29" t="inlineStr">
        <is>
          <t>D3</t>
        </is>
      </c>
      <c r="O29" t="inlineStr">
        <is>
          <t>multi-仅用料号强匹配</t>
        </is>
      </c>
    </row>
    <row r="30">
      <c r="A30" t="n">
        <v>16</v>
      </c>
      <c r="B30" t="inlineStr">
        <is>
          <t>1.S.DD.00666</t>
        </is>
      </c>
      <c r="C30" t="inlineStr">
        <is>
          <t>贴片二极管</t>
        </is>
      </c>
      <c r="D30" t="inlineStr">
        <is>
          <t>VN ES1D 200V 1A DO214AC 丝印ES1D 辰达行</t>
        </is>
      </c>
      <c r="G30" t="n">
        <v>1</v>
      </c>
      <c r="H30" t="inlineStr">
        <is>
          <t>D3</t>
        </is>
      </c>
      <c r="O30" t="inlineStr">
        <is>
          <t>multi-仅用料号强匹配</t>
        </is>
      </c>
    </row>
    <row r="31">
      <c r="A31" t="n">
        <v>16</v>
      </c>
      <c r="B31" t="inlineStr">
        <is>
          <t>1.S.DD.01595</t>
        </is>
      </c>
      <c r="C31" t="inlineStr">
        <is>
          <t>贴片二极管</t>
        </is>
      </c>
      <c r="D31" t="inlineStr">
        <is>
          <t>KB ES1D SMA 丝印ES1D ON</t>
        </is>
      </c>
      <c r="G31" t="n">
        <v>1</v>
      </c>
      <c r="H31" t="inlineStr">
        <is>
          <t>D3</t>
        </is>
      </c>
      <c r="O31" t="inlineStr">
        <is>
          <t>multi-仅用料号强匹配</t>
        </is>
      </c>
    </row>
    <row r="32">
      <c r="A32" t="n">
        <v>17</v>
      </c>
      <c r="D32" t="inlineStr">
        <is>
          <t>PZU18B2</t>
        </is>
      </c>
      <c r="G32" t="n">
        <v>3</v>
      </c>
      <c r="H32" t="inlineStr">
        <is>
          <t>D7 D11 D12</t>
        </is>
      </c>
    </row>
    <row r="33">
      <c r="A33" t="n">
        <v>18</v>
      </c>
      <c r="C33" t="inlineStr">
        <is>
          <t>贴片二极管</t>
        </is>
      </c>
      <c r="D33" t="inlineStr">
        <is>
          <t>KN SS36-SMA 60V 3A DO-214AC JSCJ/替代1：SS36A 60V 3A DO-214AC 杨杰</t>
        </is>
      </c>
      <c r="G33" t="n">
        <v>1</v>
      </c>
      <c r="H33" t="inlineStr">
        <is>
          <t>D14</t>
        </is>
      </c>
      <c r="O33" t="inlineStr">
        <is>
          <t>仅用料号弱匹配</t>
        </is>
      </c>
    </row>
    <row r="34">
      <c r="A34" t="n">
        <v>19</v>
      </c>
      <c r="B34" t="inlineStr">
        <is>
          <t>1.D.DD.00015</t>
        </is>
      </c>
      <c r="C34" t="inlineStr">
        <is>
          <t>插件二极管</t>
        </is>
      </c>
      <c r="D34" t="inlineStr">
        <is>
          <t>AP 1N4148 100V 0.01A ＜4NS DO-35 MCC</t>
        </is>
      </c>
      <c r="G34" t="n">
        <v>3</v>
      </c>
      <c r="H34" t="inlineStr">
        <is>
          <t>D15 D16 D23</t>
        </is>
      </c>
      <c r="O34" t="inlineStr">
        <is>
          <t>仅用料号强匹配</t>
        </is>
      </c>
    </row>
    <row r="35">
      <c r="A35" t="n">
        <v>19</v>
      </c>
      <c r="B35" t="inlineStr">
        <is>
          <t>1.D.DD.00027</t>
        </is>
      </c>
      <c r="C35" t="inlineStr">
        <is>
          <t>二极管</t>
        </is>
      </c>
      <c r="D35" t="inlineStr">
        <is>
          <t>VV 1N4148 快速开关二极管 75V 150MA DO35 YJSEP</t>
        </is>
      </c>
      <c r="G35" t="n">
        <v>3</v>
      </c>
      <c r="H35" t="inlineStr">
        <is>
          <t>D15 D16 D23</t>
        </is>
      </c>
      <c r="O35" t="inlineStr">
        <is>
          <t>multi-仅用料号强匹配</t>
        </is>
      </c>
    </row>
    <row r="36">
      <c r="A36" t="n">
        <v>19</v>
      </c>
      <c r="B36" t="inlineStr">
        <is>
          <t>1.D.DD.00043</t>
        </is>
      </c>
      <c r="C36" t="inlineStr">
        <is>
          <t>插件二极管</t>
        </is>
      </c>
      <c r="D36" t="inlineStr">
        <is>
          <t>JC 1N4148 75V 200mA DO35 DIP ST</t>
        </is>
      </c>
      <c r="G36" t="n">
        <v>3</v>
      </c>
      <c r="H36" t="inlineStr">
        <is>
          <t>D15 D16 D23</t>
        </is>
      </c>
      <c r="O36" t="inlineStr">
        <is>
          <t>multi-仅用料号强匹配</t>
        </is>
      </c>
    </row>
    <row r="37">
      <c r="A37" t="n">
        <v>19</v>
      </c>
      <c r="B37" t="inlineStr">
        <is>
          <t>1.D.DD.00056</t>
        </is>
      </c>
      <c r="C37" t="inlineStr">
        <is>
          <t>插件开关二极管</t>
        </is>
      </c>
      <c r="D37" t="inlineStr">
        <is>
          <t>KA 1N4148 75V 150mA DO-35 DIOTEC 替代 1N4148 YJ 丝印 1N4148</t>
        </is>
      </c>
      <c r="G37" t="n">
        <v>3</v>
      </c>
      <c r="H37" t="inlineStr">
        <is>
          <t>D15 D16 D23</t>
        </is>
      </c>
      <c r="O37" t="inlineStr">
        <is>
          <t>multi-仅用料号强匹配</t>
        </is>
      </c>
    </row>
    <row r="38">
      <c r="A38" t="n">
        <v>19</v>
      </c>
      <c r="B38" t="inlineStr">
        <is>
          <t>1.S.DD.00737</t>
        </is>
      </c>
      <c r="C38" t="inlineStr">
        <is>
          <t>贴片二极管</t>
        </is>
      </c>
      <c r="D38" t="inlineStr">
        <is>
          <t>SN 1N4148 SOD323 丝印T4 CJ</t>
        </is>
      </c>
      <c r="G38" t="n">
        <v>3</v>
      </c>
      <c r="H38" t="inlineStr">
        <is>
          <t>D15 D16 D23</t>
        </is>
      </c>
      <c r="O38" t="inlineStr">
        <is>
          <t>multi-仅用料号强匹配</t>
        </is>
      </c>
    </row>
    <row r="39">
      <c r="A39" t="n">
        <v>19</v>
      </c>
      <c r="B39" t="inlineStr">
        <is>
          <t>1.S.DD.00756</t>
        </is>
      </c>
      <c r="C39" t="inlineStr">
        <is>
          <t>贴片二极管</t>
        </is>
      </c>
      <c r="D39" t="inlineStr">
        <is>
          <t>YU 1N4148 SOD123 MDD</t>
        </is>
      </c>
      <c r="G39" t="n">
        <v>3</v>
      </c>
      <c r="H39" t="inlineStr">
        <is>
          <t>D15 D16 D23</t>
        </is>
      </c>
      <c r="O39" t="inlineStr">
        <is>
          <t>multi-仅用料号强匹配</t>
        </is>
      </c>
    </row>
    <row r="40">
      <c r="A40" t="n">
        <v>20</v>
      </c>
      <c r="B40" t="inlineStr">
        <is>
          <t>1.S.DD.00732</t>
        </is>
      </c>
      <c r="C40" t="inlineStr">
        <is>
          <t>贴片TVS二极管</t>
        </is>
      </c>
      <c r="D40" t="inlineStr">
        <is>
          <t>CC PESD1CAN,215 SOT23 丝印AN NXP</t>
        </is>
      </c>
      <c r="G40" t="n">
        <v>1</v>
      </c>
      <c r="H40" t="inlineStr">
        <is>
          <t>D25</t>
        </is>
      </c>
      <c r="O40" t="inlineStr">
        <is>
          <t>仅用料号强匹配</t>
        </is>
      </c>
    </row>
    <row r="41">
      <c r="A41" t="n">
        <v>20</v>
      </c>
      <c r="B41" t="inlineStr">
        <is>
          <t>1.S.DD.01147</t>
        </is>
      </c>
      <c r="C41" t="inlineStr">
        <is>
          <t>贴片双向TVS管</t>
        </is>
      </c>
      <c r="D41" t="inlineStr">
        <is>
          <t>LI PESD1CAN,215 SOT-23 丝印*AN NEXPERIA</t>
        </is>
      </c>
      <c r="G41" t="n">
        <v>1</v>
      </c>
      <c r="H41" t="inlineStr">
        <is>
          <t>D25</t>
        </is>
      </c>
      <c r="O41" t="inlineStr">
        <is>
          <t>multi-仅用料号强匹配</t>
        </is>
      </c>
    </row>
    <row r="42">
      <c r="A42" t="n">
        <v>21</v>
      </c>
      <c r="B42" t="inlineStr">
        <is>
          <t>1.S.DD.00397</t>
        </is>
      </c>
      <c r="C42" t="inlineStr">
        <is>
          <t>贴片二极管---禁用</t>
        </is>
      </c>
      <c r="D42" t="inlineStr">
        <is>
          <t>ET SM712-02HTG 600W SOT23 712 LITTELFUSE   ///20241217停用,林华胜邮件通知料号重复,无BOM共用,库存0,改用1.S.DD.00450料号,故停用</t>
        </is>
      </c>
      <c r="G42" t="n">
        <v>1</v>
      </c>
      <c r="H42" t="inlineStr">
        <is>
          <t>D30</t>
        </is>
      </c>
      <c r="O42" t="inlineStr">
        <is>
          <t>仅用料号强匹配</t>
        </is>
      </c>
    </row>
    <row r="43">
      <c r="A43" t="n">
        <v>21</v>
      </c>
      <c r="B43" t="inlineStr">
        <is>
          <t>1.S.DD.00450</t>
        </is>
      </c>
      <c r="C43" t="inlineStr">
        <is>
          <t>贴片TVS管</t>
        </is>
      </c>
      <c r="D43" t="inlineStr">
        <is>
          <t>ET SM712-02HTG SOT23-3 712 LITTELFUSE</t>
        </is>
      </c>
      <c r="G43" t="n">
        <v>1</v>
      </c>
      <c r="H43" t="inlineStr">
        <is>
          <t>D30</t>
        </is>
      </c>
      <c r="O43" t="inlineStr">
        <is>
          <t>multi-仅用料号强匹配</t>
        </is>
      </c>
    </row>
    <row r="44">
      <c r="A44" t="n">
        <v>22</v>
      </c>
      <c r="B44" t="inlineStr">
        <is>
          <t>1.S.DD.00314</t>
        </is>
      </c>
      <c r="C44" t="inlineStr">
        <is>
          <t>贴片TVS管</t>
        </is>
      </c>
      <c r="D44" t="inlineStr">
        <is>
          <t>NS SMBJ36CA 双向 600W DO-214AA CP YJ</t>
        </is>
      </c>
      <c r="G44" t="n">
        <v>1</v>
      </c>
      <c r="H44" t="inlineStr">
        <is>
          <t>DR1</t>
        </is>
      </c>
      <c r="O44" t="inlineStr">
        <is>
          <t>仅用料号强匹配</t>
        </is>
      </c>
    </row>
    <row r="45">
      <c r="A45" t="n">
        <v>22</v>
      </c>
      <c r="B45" t="inlineStr">
        <is>
          <t>1.S.DD.00670</t>
        </is>
      </c>
      <c r="C45" t="inlineStr">
        <is>
          <t>贴片二极管</t>
        </is>
      </c>
      <c r="D45" t="inlineStr">
        <is>
          <t>AR SMBJ36CA 36V 40V DO-214AA CP LITTELFUSE</t>
        </is>
      </c>
      <c r="G45" t="n">
        <v>1</v>
      </c>
      <c r="H45" t="inlineStr">
        <is>
          <t>DR1</t>
        </is>
      </c>
      <c r="O45" t="inlineStr">
        <is>
          <t>multi-仅用料号强匹配</t>
        </is>
      </c>
    </row>
    <row r="46">
      <c r="A46" t="n">
        <v>22</v>
      </c>
      <c r="B46" t="inlineStr">
        <is>
          <t>1.S.DD.01355</t>
        </is>
      </c>
      <c r="C46" t="inlineStr">
        <is>
          <t>贴片双向TVS管</t>
        </is>
      </c>
      <c r="D46" t="inlineStr">
        <is>
          <t>GR SMBJ36CA SMB 丝印CP LITTELFUSE</t>
        </is>
      </c>
      <c r="G46" t="n">
        <v>1</v>
      </c>
      <c r="H46" t="inlineStr">
        <is>
          <t>DR1</t>
        </is>
      </c>
      <c r="O46" t="inlineStr">
        <is>
          <t>multi-仅用料号强匹配</t>
        </is>
      </c>
    </row>
    <row r="47">
      <c r="A47" t="n">
        <v>22</v>
      </c>
      <c r="B47" t="inlineStr">
        <is>
          <t>1.S.DD.01418</t>
        </is>
      </c>
      <c r="C47" t="inlineStr">
        <is>
          <t>贴片TVS管</t>
        </is>
      </c>
      <c r="D47" t="inlineStr">
        <is>
          <t>KB SMBJ36CA 双向 SMB BRIGHTKING</t>
        </is>
      </c>
      <c r="G47" t="n">
        <v>1</v>
      </c>
      <c r="H47" t="inlineStr">
        <is>
          <t>DR1</t>
        </is>
      </c>
      <c r="O47" t="inlineStr">
        <is>
          <t>multi-仅用料号强匹配</t>
        </is>
      </c>
    </row>
    <row r="48">
      <c r="A48" t="n">
        <v>23</v>
      </c>
      <c r="D48" t="inlineStr">
        <is>
          <t>耐压30V，保持电流500mA，跳闸电流(Itrip)	1A</t>
        </is>
      </c>
      <c r="G48" t="n">
        <v>3</v>
      </c>
      <c r="H48" t="inlineStr">
        <is>
          <t>F1 RF5 RF6</t>
        </is>
      </c>
    </row>
    <row r="49">
      <c r="A49" t="n">
        <v>24</v>
      </c>
      <c r="D49" t="inlineStr">
        <is>
          <t>耐压30V，保持电流1A，跳闸电流(Itrip)	1.8A</t>
        </is>
      </c>
      <c r="G49" t="n">
        <v>4</v>
      </c>
      <c r="H49" t="inlineStr">
        <is>
          <t>F20 F21 F22 F23</t>
        </is>
      </c>
    </row>
    <row r="50">
      <c r="A50" t="n">
        <v>25</v>
      </c>
      <c r="C50" t="inlineStr">
        <is>
          <t>贴片共模滤波器</t>
        </is>
      </c>
      <c r="D50" t="inlineStr">
        <is>
          <t>YA ACM7060-701-2PL-TL01 700R@100MHz 7x6mm TDK</t>
        </is>
      </c>
      <c r="G50" t="n">
        <v>1</v>
      </c>
      <c r="H50" t="inlineStr">
        <is>
          <t>L1</t>
        </is>
      </c>
      <c r="O50" t="inlineStr">
        <is>
          <t>仅用料号弱匹配</t>
        </is>
      </c>
    </row>
    <row r="51">
      <c r="A51" t="n">
        <v>25</v>
      </c>
      <c r="C51" t="inlineStr">
        <is>
          <t>贴片共模滤波器</t>
        </is>
      </c>
      <c r="D51" t="inlineStr">
        <is>
          <t>ZHP ACM7060-701-2PL-TL01 2线路700R@100MHZ 4A DCR15毫欧 7*6MM TDK</t>
        </is>
      </c>
      <c r="G51" t="n">
        <v>1</v>
      </c>
      <c r="H51" t="inlineStr">
        <is>
          <t>L1</t>
        </is>
      </c>
      <c r="O51" t="inlineStr">
        <is>
          <t>multi-仅用料号弱匹配</t>
        </is>
      </c>
    </row>
    <row r="52">
      <c r="A52" t="n">
        <v>25</v>
      </c>
      <c r="C52" t="inlineStr">
        <is>
          <t>贴片电感</t>
        </is>
      </c>
      <c r="D52" t="inlineStr">
        <is>
          <t>NS ACM7060-701-2PL-TL01 4A 2LN 700 OHM SMD TDK</t>
        </is>
      </c>
      <c r="G52" t="n">
        <v>1</v>
      </c>
      <c r="H52" t="inlineStr">
        <is>
          <t>L1</t>
        </is>
      </c>
      <c r="O52" t="inlineStr">
        <is>
          <t>multi-仅用料号弱匹配</t>
        </is>
      </c>
    </row>
    <row r="53">
      <c r="A53" t="n">
        <v>25</v>
      </c>
      <c r="C53" t="inlineStr">
        <is>
          <t>贴片电感</t>
        </is>
      </c>
      <c r="D53" t="inlineStr">
        <is>
          <t>KB ACM7060-701-2PL-TL01 700Ω@100MHz SMD7x6mm TDK
"</t>
        </is>
      </c>
      <c r="G53" t="n">
        <v>1</v>
      </c>
      <c r="H53" t="inlineStr">
        <is>
          <t>L1</t>
        </is>
      </c>
      <c r="O53" t="inlineStr">
        <is>
          <t>multi-仅用料号弱匹配</t>
        </is>
      </c>
    </row>
    <row r="54">
      <c r="A54" t="n">
        <v>26</v>
      </c>
      <c r="B54" t="inlineStr">
        <is>
          <t>1.S.LB.00027</t>
        </is>
      </c>
      <c r="C54" t="inlineStr">
        <is>
          <t>贴片滤波器</t>
        </is>
      </c>
      <c r="D54" t="inlineStr">
        <is>
          <t>XC ACM2012-900-2P-T002 90R@100MHz 2.0mm×1.2mm TDK</t>
        </is>
      </c>
      <c r="G54" t="n">
        <v>1</v>
      </c>
      <c r="H54" t="inlineStr">
        <is>
          <t>L2</t>
        </is>
      </c>
      <c r="O54" t="inlineStr">
        <is>
          <t>仅用料号强匹配</t>
        </is>
      </c>
    </row>
    <row r="55">
      <c r="A55" t="n">
        <v>27</v>
      </c>
      <c r="D55" t="inlineStr">
        <is>
          <t>10uH,±20%</t>
        </is>
      </c>
      <c r="G55" t="n">
        <v>1</v>
      </c>
      <c r="H55" t="inlineStr">
        <is>
          <t>L3</t>
        </is>
      </c>
    </row>
    <row r="56">
      <c r="A56" t="n">
        <v>28</v>
      </c>
      <c r="D56" t="inlineStr">
        <is>
          <t>22uH,±20%</t>
        </is>
      </c>
      <c r="G56" t="n">
        <v>1</v>
      </c>
      <c r="H56" t="inlineStr">
        <is>
          <t>L4</t>
        </is>
      </c>
    </row>
    <row r="57">
      <c r="A57" t="n">
        <v>29</v>
      </c>
      <c r="D57" t="inlineStr">
        <is>
          <t>6.8uH,±20%</t>
        </is>
      </c>
      <c r="G57" t="n">
        <v>2</v>
      </c>
      <c r="H57" t="inlineStr">
        <is>
          <t>L5 L6</t>
        </is>
      </c>
    </row>
    <row r="58">
      <c r="A58" t="n">
        <v>30</v>
      </c>
      <c r="B58" t="inlineStr">
        <is>
          <t>1.S.LB.00038</t>
        </is>
      </c>
      <c r="C58" t="inlineStr">
        <is>
          <t>贴片共模滤波器</t>
        </is>
      </c>
      <c r="D58" t="inlineStr">
        <is>
          <t>YA ACT45B-510-2P-TL003 2.8kR@10MHz 两路 4532 TDK</t>
        </is>
      </c>
      <c r="G58" t="n">
        <v>1</v>
      </c>
      <c r="H58" t="inlineStr">
        <is>
          <t>L7</t>
        </is>
      </c>
      <c r="O58" t="inlineStr">
        <is>
          <t>仅用料号强匹配</t>
        </is>
      </c>
    </row>
    <row r="59">
      <c r="A59" t="n">
        <v>30</v>
      </c>
      <c r="B59" t="inlineStr">
        <is>
          <t>1.S.LL.00603</t>
        </is>
      </c>
      <c r="C59" t="inlineStr">
        <is>
          <t>贴片电感</t>
        </is>
      </c>
      <c r="D59" t="inlineStr">
        <is>
          <t>BG ACT45B-510-2P-TL003 51UH 200MA 4.50mm x 3.20mm TDK</t>
        </is>
      </c>
      <c r="G59" t="n">
        <v>1</v>
      </c>
      <c r="H59" t="inlineStr">
        <is>
          <t>L7</t>
        </is>
      </c>
      <c r="O59" t="inlineStr">
        <is>
          <t>multi-仅用料号强匹配</t>
        </is>
      </c>
    </row>
    <row r="60">
      <c r="A60" t="n">
        <v>30</v>
      </c>
      <c r="B60" t="inlineStr">
        <is>
          <t>1.S.LL.00664</t>
        </is>
      </c>
      <c r="C60" t="inlineStr">
        <is>
          <t>贴片共模电感</t>
        </is>
      </c>
      <c r="D60" t="inlineStr">
        <is>
          <t>YA ACT45B-510-2P-TL003 51uH@100kHz SMD,4.5x3.2mm TDK</t>
        </is>
      </c>
      <c r="G60" t="n">
        <v>1</v>
      </c>
      <c r="H60" t="inlineStr">
        <is>
          <t>L7</t>
        </is>
      </c>
      <c r="O60" t="inlineStr">
        <is>
          <t>multi-仅用料号强匹配</t>
        </is>
      </c>
    </row>
    <row r="61">
      <c r="A61" t="n">
        <v>31</v>
      </c>
      <c r="D61" t="inlineStr">
        <is>
          <t>42001W90-2X10PA-A2-03,间距2.00mm</t>
        </is>
      </c>
      <c r="G61" t="n">
        <v>1</v>
      </c>
      <c r="H61" t="inlineStr">
        <is>
          <t>P2</t>
        </is>
      </c>
    </row>
    <row r="62">
      <c r="A62" t="n">
        <v>32</v>
      </c>
      <c r="D62" t="inlineStr">
        <is>
          <t>42501W90-2X8PA-A2-03,间距2.50mm</t>
        </is>
      </c>
      <c r="G62" t="n">
        <v>1</v>
      </c>
      <c r="H62" t="inlineStr">
        <is>
          <t>P3</t>
        </is>
      </c>
    </row>
    <row r="63">
      <c r="A63" t="n">
        <v>33</v>
      </c>
      <c r="D63" t="inlineStr">
        <is>
          <t>42501W90-2X4PA-A2-03.间距2.50mm</t>
        </is>
      </c>
      <c r="G63" t="n">
        <v>1</v>
      </c>
      <c r="H63" t="inlineStr">
        <is>
          <t>P4</t>
        </is>
      </c>
    </row>
    <row r="64">
      <c r="A64" t="n">
        <v>34</v>
      </c>
      <c r="D64" t="inlineStr">
        <is>
          <t>AOD409,P沟道,-60V,-26A,55mΩ@-4.5V</t>
        </is>
      </c>
      <c r="G64" t="n">
        <v>1</v>
      </c>
      <c r="H64" t="inlineStr">
        <is>
          <t>Q1</t>
        </is>
      </c>
    </row>
    <row r="65">
      <c r="A65" t="n">
        <v>35</v>
      </c>
      <c r="D65" t="inlineStr">
        <is>
          <t>AO4482,N沟道 耐压:100V 72mΩ@10V,6A</t>
        </is>
      </c>
      <c r="G65" t="n">
        <v>2</v>
      </c>
      <c r="H65" t="inlineStr">
        <is>
          <t>Q2 Q3</t>
        </is>
      </c>
    </row>
    <row r="66">
      <c r="A66" t="n">
        <v>36</v>
      </c>
      <c r="D66" t="inlineStr">
        <is>
          <t>SS8050,NPN</t>
        </is>
      </c>
      <c r="G66" t="n">
        <v>2</v>
      </c>
      <c r="H66" t="inlineStr">
        <is>
          <t>Q4 Q6</t>
        </is>
      </c>
    </row>
    <row r="67">
      <c r="A67" t="n">
        <v>37</v>
      </c>
      <c r="D67" t="inlineStr">
        <is>
          <t>AO3400,N沟道 耐压:30V 20mΩ@4.5V,5.5A</t>
        </is>
      </c>
      <c r="G67" t="n">
        <v>1</v>
      </c>
      <c r="H67" t="inlineStr">
        <is>
          <t>Q5</t>
        </is>
      </c>
    </row>
    <row r="68">
      <c r="A68" t="n">
        <v>38</v>
      </c>
      <c r="D68" t="inlineStr">
        <is>
          <t>10K ±0.1% ±25ppm/℃</t>
        </is>
      </c>
      <c r="G68" t="n">
        <v>36</v>
      </c>
      <c r="H68" t="inlineStr">
        <is>
          <t>R1 R2 R14 R15 R23 R24 R32 R33 R34 R35 R44 R45 R57 R58 R66 R67 R77 R78 R80 R81 R82 R83 R89 R90 R96 R97 R104 R105 R112 R113 R117 R118 R121 R122 R127 R128</t>
        </is>
      </c>
    </row>
    <row r="69">
      <c r="A69" t="n">
        <v>39</v>
      </c>
      <c r="D69" t="inlineStr">
        <is>
          <t>20K ±0.1% ±25ppm/℃</t>
        </is>
      </c>
      <c r="G69" t="n">
        <v>4</v>
      </c>
      <c r="H69" t="inlineStr">
        <is>
          <t>R40 R41 R85 R86</t>
        </is>
      </c>
    </row>
    <row r="70">
      <c r="A70" t="n">
        <v>40</v>
      </c>
      <c r="D70" t="inlineStr">
        <is>
          <t>10K,±1%</t>
        </is>
      </c>
      <c r="G70" t="n">
        <v>19</v>
      </c>
      <c r="H70" t="inlineStr">
        <is>
          <t>R3 R8 R9 R13 R16 R27 R28 R38 R42 R43 R46 R51 R56 R59 R62 R68 R69 R87 R88</t>
        </is>
      </c>
    </row>
    <row r="71">
      <c r="A71" t="n">
        <v>41</v>
      </c>
      <c r="D71" t="inlineStr">
        <is>
          <t>100Ω,±1%</t>
        </is>
      </c>
      <c r="G71" t="n">
        <v>26</v>
      </c>
      <c r="H71" t="inlineStr">
        <is>
          <t>R5 R11 R12 R17 R26 R29 R30 R36 R37 R39 R47 R52 R63 R72 R79 R84 R92 R93 R94 R95 R98 R108 R114 R119 R126 R130</t>
        </is>
      </c>
    </row>
    <row r="72">
      <c r="A72" t="n">
        <v>42</v>
      </c>
      <c r="D72" t="inlineStr">
        <is>
          <t>4.7K,±1%</t>
        </is>
      </c>
      <c r="G72" t="n">
        <v>9</v>
      </c>
      <c r="H72" t="inlineStr">
        <is>
          <t>R6 R7 R18 R19 R20 R21 R99 R101 R103</t>
        </is>
      </c>
    </row>
    <row r="73">
      <c r="A73" t="n">
        <v>43</v>
      </c>
      <c r="D73" t="inlineStr">
        <is>
          <t>330Ω,±1%</t>
        </is>
      </c>
      <c r="G73" t="n">
        <v>3</v>
      </c>
      <c r="H73" t="inlineStr">
        <is>
          <t>R31 R60 R61</t>
        </is>
      </c>
    </row>
    <row r="74">
      <c r="A74" t="n">
        <v>44</v>
      </c>
      <c r="D74" t="inlineStr">
        <is>
          <t>20K,±1%</t>
        </is>
      </c>
      <c r="G74" t="n">
        <v>1</v>
      </c>
      <c r="H74" t="inlineStr">
        <is>
          <t>R107</t>
        </is>
      </c>
    </row>
    <row r="75">
      <c r="A75" t="n">
        <v>45</v>
      </c>
      <c r="D75" t="inlineStr">
        <is>
          <t>1.5K,±1%</t>
        </is>
      </c>
      <c r="G75" t="n">
        <v>1</v>
      </c>
      <c r="H75" t="inlineStr">
        <is>
          <t>R64</t>
        </is>
      </c>
    </row>
    <row r="76">
      <c r="A76" t="n">
        <v>46</v>
      </c>
      <c r="D76" t="inlineStr">
        <is>
          <t>1.5K ±0.1% ±25ppm/℃</t>
        </is>
      </c>
      <c r="G76" t="n">
        <v>2</v>
      </c>
      <c r="H76" t="inlineStr">
        <is>
          <t>R73 R123</t>
        </is>
      </c>
    </row>
    <row r="77">
      <c r="A77" t="n">
        <v>47</v>
      </c>
      <c r="D77" t="inlineStr">
        <is>
          <t>4.7K ±0.1% ±25ppm/℃</t>
        </is>
      </c>
      <c r="G77" t="n">
        <v>2</v>
      </c>
      <c r="H77" t="inlineStr">
        <is>
          <t>R74 R124</t>
        </is>
      </c>
    </row>
    <row r="78">
      <c r="A78" t="n">
        <v>48</v>
      </c>
      <c r="D78" t="inlineStr">
        <is>
          <t>510Ω,±1%</t>
        </is>
      </c>
      <c r="G78" t="n">
        <v>1</v>
      </c>
      <c r="H78" t="inlineStr">
        <is>
          <t>R75</t>
        </is>
      </c>
    </row>
    <row r="79">
      <c r="A79" t="n">
        <v>49</v>
      </c>
      <c r="D79" t="inlineStr">
        <is>
          <t>220Ω,±1%</t>
        </is>
      </c>
      <c r="G79" t="n">
        <v>1</v>
      </c>
      <c r="H79" t="inlineStr">
        <is>
          <t>R76</t>
        </is>
      </c>
    </row>
    <row r="80">
      <c r="A80" t="n">
        <v>50</v>
      </c>
      <c r="D80" t="inlineStr">
        <is>
          <t>200Ω,±1%</t>
        </is>
      </c>
      <c r="G80" t="n">
        <v>1</v>
      </c>
      <c r="H80" t="inlineStr">
        <is>
          <t>R116</t>
        </is>
      </c>
    </row>
    <row r="81">
      <c r="A81" t="n">
        <v>51</v>
      </c>
      <c r="D81" t="inlineStr">
        <is>
          <t>100K,±1%</t>
        </is>
      </c>
      <c r="G81" t="n">
        <v>1</v>
      </c>
      <c r="H81" t="inlineStr">
        <is>
          <t>R65</t>
        </is>
      </c>
    </row>
    <row r="82">
      <c r="A82" t="n">
        <v>52</v>
      </c>
      <c r="D82" t="inlineStr">
        <is>
          <t>470Ω,±1%</t>
        </is>
      </c>
      <c r="G82" t="n">
        <v>3</v>
      </c>
      <c r="H82" t="inlineStr">
        <is>
          <t>R102 R115 R125</t>
        </is>
      </c>
    </row>
    <row r="83">
      <c r="A83" t="n">
        <v>53</v>
      </c>
      <c r="D83" t="inlineStr">
        <is>
          <t>680Ω,±1%</t>
        </is>
      </c>
      <c r="G83" t="n">
        <v>1</v>
      </c>
      <c r="H83" t="inlineStr">
        <is>
          <t>R106</t>
        </is>
      </c>
    </row>
    <row r="84">
      <c r="A84" t="n">
        <v>54</v>
      </c>
      <c r="D84" t="inlineStr">
        <is>
          <t>0Ω,±1%</t>
        </is>
      </c>
      <c r="G84" t="n">
        <v>3</v>
      </c>
      <c r="H84" t="inlineStr">
        <is>
          <t>R49 R50 R109</t>
        </is>
      </c>
    </row>
    <row r="85">
      <c r="A85" t="n">
        <v>55</v>
      </c>
      <c r="D85" t="inlineStr">
        <is>
          <t>1K,±1%</t>
        </is>
      </c>
      <c r="G85" t="n">
        <v>5</v>
      </c>
      <c r="H85" t="inlineStr">
        <is>
          <t>R70 R71 R110 R120 R129</t>
        </is>
      </c>
    </row>
    <row r="86">
      <c r="A86" t="n">
        <v>56</v>
      </c>
      <c r="D86" t="inlineStr">
        <is>
          <t>π120M31</t>
        </is>
      </c>
      <c r="G86" t="n">
        <v>1</v>
      </c>
      <c r="H86" t="inlineStr">
        <is>
          <t>U1</t>
        </is>
      </c>
    </row>
    <row r="87">
      <c r="A87" t="n">
        <v>57</v>
      </c>
      <c r="D87" t="inlineStr">
        <is>
          <t>EL3H4(B)(TA)-VG</t>
        </is>
      </c>
      <c r="G87" t="n">
        <v>2</v>
      </c>
      <c r="H87" t="inlineStr">
        <is>
          <t>U2 U3</t>
        </is>
      </c>
    </row>
    <row r="88">
      <c r="A88" t="n">
        <v>58</v>
      </c>
      <c r="D88" t="inlineStr">
        <is>
          <t>CD74HC4051PWR</t>
        </is>
      </c>
      <c r="G88" t="n">
        <v>2</v>
      </c>
      <c r="H88" t="inlineStr">
        <is>
          <t>U4 U15</t>
        </is>
      </c>
    </row>
    <row r="89">
      <c r="A89" t="n">
        <v>59</v>
      </c>
      <c r="B89" t="inlineStr">
        <is>
          <t>1.S.IC.00053</t>
        </is>
      </c>
      <c r="C89" t="inlineStr">
        <is>
          <t>IC</t>
        </is>
      </c>
      <c r="D89" t="inlineStr">
        <is>
          <t>LX STM32F103C8T6 LQFP48 SMT32单片机 ST</t>
        </is>
      </c>
      <c r="G89" t="n">
        <v>1</v>
      </c>
      <c r="H89" t="inlineStr">
        <is>
          <t>U5</t>
        </is>
      </c>
      <c r="O89" t="inlineStr">
        <is>
          <t>仅用料号强匹配</t>
        </is>
      </c>
    </row>
    <row r="90">
      <c r="A90" t="n">
        <v>59</v>
      </c>
      <c r="B90" t="inlineStr">
        <is>
          <t>1.S.IC.00366-1</t>
        </is>
      </c>
      <c r="C90" t="inlineStr">
        <is>
          <t>贴片IC</t>
        </is>
      </c>
      <c r="D90" t="inlineStr">
        <is>
          <t>VV STM32F103C8T6</t>
        </is>
      </c>
      <c r="G90" t="n">
        <v>1</v>
      </c>
      <c r="H90" t="inlineStr">
        <is>
          <t>U5</t>
        </is>
      </c>
      <c r="O90" t="inlineStr">
        <is>
          <t>multi-仅用料号强匹配</t>
        </is>
      </c>
    </row>
    <row r="91">
      <c r="A91" t="n">
        <v>59</v>
      </c>
      <c r="B91" t="inlineStr">
        <is>
          <t>1.S.IC.01129</t>
        </is>
      </c>
      <c r="C91" t="inlineStr">
        <is>
          <t>贴片IC</t>
        </is>
      </c>
      <c r="D91" t="inlineStr">
        <is>
          <t>KM STM32F103C8T6 32-bit MCU ST</t>
        </is>
      </c>
      <c r="G91" t="n">
        <v>1</v>
      </c>
      <c r="H91" t="inlineStr">
        <is>
          <t>U5</t>
        </is>
      </c>
      <c r="O91" t="inlineStr">
        <is>
          <t>multi-仅用料号强匹配</t>
        </is>
      </c>
    </row>
    <row r="92">
      <c r="A92" t="n">
        <v>59</v>
      </c>
      <c r="B92" t="inlineStr">
        <is>
          <t>1.S.IC.01692</t>
        </is>
      </c>
      <c r="C92" t="inlineStr">
        <is>
          <t>贴片IC</t>
        </is>
      </c>
      <c r="D92" t="inlineStr">
        <is>
          <t>VV STM32F103C8T6 LQFP-48</t>
        </is>
      </c>
      <c r="G92" t="n">
        <v>1</v>
      </c>
      <c r="H92" t="inlineStr">
        <is>
          <t>U5</t>
        </is>
      </c>
      <c r="O92" t="inlineStr">
        <is>
          <t>multi-仅用料号强匹配</t>
        </is>
      </c>
    </row>
    <row r="93">
      <c r="A93" t="n">
        <v>60</v>
      </c>
      <c r="D93" t="inlineStr">
        <is>
          <t>NSi8221N1-Q1SPR</t>
        </is>
      </c>
      <c r="G93" t="n">
        <v>2</v>
      </c>
      <c r="H93" t="inlineStr">
        <is>
          <t>U6 U21</t>
        </is>
      </c>
    </row>
    <row r="94">
      <c r="A94" t="n">
        <v>61</v>
      </c>
      <c r="B94" t="inlineStr">
        <is>
          <t>1.S.IC.02352</t>
        </is>
      </c>
      <c r="C94" t="inlineStr">
        <is>
          <t>贴片IC</t>
        </is>
      </c>
      <c r="D94" t="inlineStr">
        <is>
          <t>LE AMC1311BDWVR SOP-8 丝印1311B TI</t>
        </is>
      </c>
      <c r="G94" t="n">
        <v>2</v>
      </c>
      <c r="H94" t="inlineStr">
        <is>
          <t>U7 U17</t>
        </is>
      </c>
      <c r="O94" t="inlineStr">
        <is>
          <t>仅用料号强匹配</t>
        </is>
      </c>
    </row>
    <row r="95">
      <c r="A95" t="n">
        <v>62</v>
      </c>
      <c r="D95" t="inlineStr">
        <is>
          <t>LTV-816S-TA1-D3-TX,隔离电压5KV</t>
        </is>
      </c>
      <c r="G95" t="n">
        <v>6</v>
      </c>
      <c r="H95" t="inlineStr">
        <is>
          <t>U8 U13 U14 U22 U26 U28</t>
        </is>
      </c>
    </row>
    <row r="96">
      <c r="A96" t="n">
        <v>63</v>
      </c>
      <c r="D96" t="inlineStr">
        <is>
          <t>MAX1487ESA+T</t>
        </is>
      </c>
      <c r="G96" t="n">
        <v>1</v>
      </c>
      <c r="H96" t="inlineStr">
        <is>
          <t>U9</t>
        </is>
      </c>
    </row>
    <row r="97">
      <c r="A97" t="n">
        <v>64</v>
      </c>
      <c r="D97" t="inlineStr">
        <is>
          <t>TLV2371IDBVR</t>
        </is>
      </c>
      <c r="G97" t="n">
        <v>2</v>
      </c>
      <c r="H97" t="inlineStr">
        <is>
          <t>U10 U18</t>
        </is>
      </c>
    </row>
    <row r="98">
      <c r="A98" t="n">
        <v>65</v>
      </c>
      <c r="D98" t="inlineStr">
        <is>
          <t>FM24CL64B-GTR</t>
        </is>
      </c>
      <c r="G98" t="n">
        <v>1</v>
      </c>
      <c r="H98" t="inlineStr">
        <is>
          <t>U11</t>
        </is>
      </c>
    </row>
    <row r="99">
      <c r="A99" t="n">
        <v>66</v>
      </c>
      <c r="D99" t="inlineStr">
        <is>
          <t>LM22670MRX-ADJ/NOPB</t>
        </is>
      </c>
      <c r="G99" t="n">
        <v>1</v>
      </c>
      <c r="H99" t="inlineStr">
        <is>
          <t>U12</t>
        </is>
      </c>
    </row>
    <row r="100">
      <c r="A100" t="n">
        <v>67</v>
      </c>
      <c r="B100" t="inlineStr">
        <is>
          <t>1.S.IC.00059</t>
        </is>
      </c>
      <c r="C100" t="inlineStr">
        <is>
          <t>IC</t>
        </is>
      </c>
      <c r="D100" t="inlineStr">
        <is>
          <t>MK TL431AIDBZR SOT23-3 TI</t>
        </is>
      </c>
      <c r="G100" t="n">
        <v>2</v>
      </c>
      <c r="H100" t="inlineStr">
        <is>
          <t>U16 U27</t>
        </is>
      </c>
      <c r="O100" t="inlineStr">
        <is>
          <t>仅用料号强匹配</t>
        </is>
      </c>
    </row>
    <row r="101">
      <c r="A101" t="n">
        <v>67</v>
      </c>
      <c r="B101" t="inlineStr">
        <is>
          <t>1.S.IC.00998</t>
        </is>
      </c>
      <c r="C101" t="inlineStr">
        <is>
          <t>贴片IC</t>
        </is>
      </c>
      <c r="D101" t="inlineStr">
        <is>
          <t>AL TL431AIDBZR 36V 100mA SOT23-3 UTC</t>
        </is>
      </c>
      <c r="G101" t="n">
        <v>2</v>
      </c>
      <c r="H101" t="inlineStr">
        <is>
          <t>U16 U27</t>
        </is>
      </c>
      <c r="O101" t="inlineStr">
        <is>
          <t>multi-仅用料号强匹配</t>
        </is>
      </c>
    </row>
    <row r="102">
      <c r="A102" t="n">
        <v>67</v>
      </c>
      <c r="B102" t="inlineStr">
        <is>
          <t>1.S.IC.01721</t>
        </is>
      </c>
      <c r="C102" t="inlineStr">
        <is>
          <t>贴片IC</t>
        </is>
      </c>
      <c r="D102" t="inlineStr">
        <is>
          <t>NI TL431AIDBZR SOT23-3 丝印(T3AG, TAI3, TAIS,TAIU) TI</t>
        </is>
      </c>
      <c r="G102" t="n">
        <v>2</v>
      </c>
      <c r="H102" t="inlineStr">
        <is>
          <t>U16 U27</t>
        </is>
      </c>
      <c r="O102" t="inlineStr">
        <is>
          <t>multi-仅用料号强匹配</t>
        </is>
      </c>
    </row>
    <row r="103">
      <c r="A103" t="n">
        <v>67</v>
      </c>
      <c r="B103" t="inlineStr">
        <is>
          <t>1.S.IC.02490-1</t>
        </is>
      </c>
      <c r="C103" t="inlineStr">
        <is>
          <t>贴片IC</t>
        </is>
      </c>
      <c r="D103" t="inlineStr">
        <is>
          <t>KY TL431AIDBZR SOT-23 丝印 (T3AG,TAI3,TAIS,TAIU) TI</t>
        </is>
      </c>
      <c r="G103" t="n">
        <v>2</v>
      </c>
      <c r="H103" t="inlineStr">
        <is>
          <t>U16 U27</t>
        </is>
      </c>
      <c r="O103" t="inlineStr">
        <is>
          <t>multi-仅用料号强匹配</t>
        </is>
      </c>
    </row>
    <row r="104">
      <c r="A104" t="n">
        <v>67</v>
      </c>
      <c r="B104" t="inlineStr">
        <is>
          <t>1.S.IC.02735</t>
        </is>
      </c>
      <c r="C104" t="inlineStr">
        <is>
          <t>贴片IC</t>
        </is>
      </c>
      <c r="D104" t="inlineStr">
        <is>
          <t>KB TL431AIDBZR SOT-23-3 丝印T3AG TAI3 TAIS TAIU TI</t>
        </is>
      </c>
      <c r="G104" t="n">
        <v>2</v>
      </c>
      <c r="H104" t="inlineStr">
        <is>
          <t>U16 U27</t>
        </is>
      </c>
      <c r="O104" t="inlineStr">
        <is>
          <t>multi-仅用料号强匹配</t>
        </is>
      </c>
    </row>
    <row r="105">
      <c r="A105" t="n">
        <v>68</v>
      </c>
      <c r="B105" t="inlineStr">
        <is>
          <t>1.D.MD.00045</t>
        </is>
      </c>
      <c r="C105" t="inlineStr">
        <is>
          <t>插件隔离模块</t>
        </is>
      </c>
      <c r="D105" t="inlineStr">
        <is>
          <t>TD B0505S-1WR3 长宽高=11.6x6.0x10.2mm 丝印B0505S-1WR3 MORNSUN</t>
        </is>
      </c>
      <c r="G105" t="n">
        <v>2</v>
      </c>
      <c r="H105" t="inlineStr">
        <is>
          <t>U19 U24</t>
        </is>
      </c>
      <c r="O105" t="inlineStr">
        <is>
          <t>仅用料号强匹配</t>
        </is>
      </c>
    </row>
    <row r="106">
      <c r="A106" t="n">
        <v>68</v>
      </c>
      <c r="B106" t="inlineStr">
        <is>
          <t>1.D.MD.00069</t>
        </is>
      </c>
      <c r="C106" t="inlineStr">
        <is>
          <t>插件电源模块</t>
        </is>
      </c>
      <c r="D106" t="inlineStr">
        <is>
          <t>KB B0505S-1WR3 SIP-4 丝印B0505S-1WR3 金升阳</t>
        </is>
      </c>
      <c r="G106" t="n">
        <v>2</v>
      </c>
      <c r="H106" t="inlineStr">
        <is>
          <t>U19 U24</t>
        </is>
      </c>
      <c r="O106" t="inlineStr">
        <is>
          <t>multi-仅用料号强匹配</t>
        </is>
      </c>
    </row>
    <row r="107">
      <c r="A107" t="n">
        <v>69</v>
      </c>
      <c r="D107" t="inlineStr">
        <is>
          <t>H0505S-1WR3</t>
        </is>
      </c>
      <c r="G107" t="n">
        <v>1</v>
      </c>
      <c r="H107" t="inlineStr">
        <is>
          <t>U20</t>
        </is>
      </c>
    </row>
    <row r="108">
      <c r="A108" t="n">
        <v>70</v>
      </c>
      <c r="D108" t="inlineStr">
        <is>
          <t>TJA1051T/3/1J</t>
        </is>
      </c>
      <c r="G108" t="n">
        <v>1</v>
      </c>
      <c r="H108" t="inlineStr">
        <is>
          <t>U23</t>
        </is>
      </c>
    </row>
    <row r="109">
      <c r="A109" t="n">
        <v>71</v>
      </c>
      <c r="D109" t="inlineStr">
        <is>
          <t>TLP240A(TP1,F</t>
        </is>
      </c>
      <c r="G109" t="n">
        <v>1</v>
      </c>
      <c r="H109" t="inlineStr">
        <is>
          <t>U25</t>
        </is>
      </c>
    </row>
    <row r="110">
      <c r="A110" t="n">
        <v>72</v>
      </c>
      <c r="D110" t="inlineStr">
        <is>
          <t>AMS1117-3V3</t>
        </is>
      </c>
      <c r="G110" t="n">
        <v>1</v>
      </c>
      <c r="H110" t="inlineStr">
        <is>
          <t>U99</t>
        </is>
      </c>
    </row>
    <row r="111">
      <c r="A111" t="n">
        <v>73</v>
      </c>
      <c r="D111" t="inlineStr">
        <is>
          <t>8MHz,±30ppm</t>
        </is>
      </c>
      <c r="G111" t="n">
        <v>1</v>
      </c>
      <c r="H111" t="inlineStr">
        <is>
          <t>X1</t>
        </is>
      </c>
    </row>
    <row r="112">
      <c r="A112" t="n">
        <v>74</v>
      </c>
      <c r="D112" t="inlineStr">
        <is>
          <t xml:space="preserve">OverT_Collect_V1.2,四层板8cm*6cm  </t>
        </is>
      </c>
      <c r="G112" t="n">
        <v>1</v>
      </c>
      <c r="H112" t="inlineStr">
        <is>
          <t>nan</t>
        </is>
      </c>
    </row>
  </sheetData>
  <dataValidations count="1">
    <dataValidation sqref="B1: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showDropDown="0" showInputMessage="1" showErrorMessage="1" allowBlank="0" error="请 加入该物料为“贴片”还是“插件”或是”组装“信息描述" promptTitle="请 加入该物料为“贴片”还是“插件”或是”组装“信息描述" prompt="请 加入该物料为“贴片”还是“插件”或是”组装“信息描述" type="textLength" errorStyle="information" operator="greaterThan">
      <formula1>3</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2015-06-05T18:19:34Z</dcterms:created>
  <dcterms:modified xsi:type="dcterms:W3CDTF">2025-11-25T05:45:10Z</dcterms:modified>
  <cp:lastModifiedBy>Administrator</cp:lastModifiedBy>
</cp:coreProperties>
</file>